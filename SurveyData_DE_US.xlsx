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ir2\Downloads\LLM Project\"/>
    </mc:Choice>
  </mc:AlternateContent>
  <xr:revisionPtr revIDLastSave="0" documentId="13_ncr:1_{47A7106F-A87A-4404-889D-F603EA9ECE14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Q1" sheetId="1" r:id="rId1"/>
    <sheet name="Q10d" sheetId="2" r:id="rId2"/>
    <sheet name="Q17a" sheetId="3" r:id="rId3"/>
    <sheet name="Q20" sheetId="4" r:id="rId4"/>
    <sheet name="Q23a" sheetId="5" r:id="rId5"/>
    <sheet name="Q28a" sheetId="6" r:id="rId6"/>
    <sheet name="Q34" sheetId="7" r:id="rId7"/>
    <sheet name="Q36a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8" l="1"/>
  <c r="B15" i="8"/>
  <c r="C8" i="7"/>
  <c r="B8" i="7"/>
  <c r="C8" i="6"/>
  <c r="B8" i="6"/>
  <c r="C8" i="5"/>
  <c r="B8" i="5"/>
  <c r="C10" i="4"/>
  <c r="B10" i="4"/>
  <c r="C9" i="3"/>
  <c r="B9" i="3"/>
  <c r="C10" i="2"/>
  <c r="B10" i="2"/>
  <c r="C10" i="1"/>
  <c r="B10" i="1"/>
</calcChain>
</file>

<file path=xl/sharedStrings.xml><?xml version="1.0" encoding="utf-8"?>
<sst xmlns="http://schemas.openxmlformats.org/spreadsheetml/2006/main" count="157" uniqueCount="89">
  <si>
    <t>Germany (n)</t>
  </si>
  <si>
    <t>USA (n)</t>
  </si>
  <si>
    <t>Original answer code</t>
  </si>
  <si>
    <t>Normally everyone who had option 7. in Q1 should be in category -4, what means NAP (Not Applicable) – nicht zutreffend. (they havent used the Internet in the last 12 months so they should skip it</t>
  </si>
  <si>
    <t>For the US Q1(7)=Q10d(-4)=58. For Germany Q1(7)=67 Q10d(-4)=56, so somehow people couldn't skip to the required questions by the survey. The difference of 11 people chose as followed:</t>
  </si>
  <si>
    <t>People who voted anwsered 7 in the following should in theory skip question Q10d and have the answer NAP (Not Applicable) – nicht zutreffend</t>
  </si>
  <si>
    <t>Meaning in German</t>
  </si>
  <si>
    <t>Meaning in English</t>
  </si>
  <si>
    <t>Total participants</t>
  </si>
  <si>
    <t>Keine Antwort</t>
  </si>
  <si>
    <t>No answer</t>
  </si>
  <si>
    <t>Almost all the time</t>
  </si>
  <si>
    <t>Several times a day</t>
  </si>
  <si>
    <t>Once a day</t>
  </si>
  <si>
    <t>Several times a week</t>
  </si>
  <si>
    <t>Several times a month</t>
  </si>
  <si>
    <t>Less often</t>
  </si>
  <si>
    <t>Never</t>
  </si>
  <si>
    <t>Fast die ganze Zeit</t>
  </si>
  <si>
    <t>Mehrmals am Tag</t>
  </si>
  <si>
    <t>Einmal am Tag</t>
  </si>
  <si>
    <t>Mehrmals in der Woche</t>
  </si>
  <si>
    <t>Mehrmals im Monat</t>
  </si>
  <si>
    <t>Seltener</t>
  </si>
  <si>
    <t>Nie</t>
  </si>
  <si>
    <t>Nicht zutreffend (Q1 = 7)</t>
  </si>
  <si>
    <t>NAP (Code 7 in Q1)</t>
  </si>
  <si>
    <t>Very good</t>
  </si>
  <si>
    <t>Sehr gut</t>
  </si>
  <si>
    <t>Good</t>
  </si>
  <si>
    <t>Gut</t>
  </si>
  <si>
    <t>Neither good nor bad</t>
  </si>
  <si>
    <t>Weder gut noch schlecht</t>
  </si>
  <si>
    <t>Bad</t>
  </si>
  <si>
    <t>Schlecht</t>
  </si>
  <si>
    <t>Very bad</t>
  </si>
  <si>
    <t>Sehr schlecht</t>
  </si>
  <si>
    <t>Can't choose</t>
  </si>
  <si>
    <t>Kann ich nicht sagen</t>
  </si>
  <si>
    <t>Strongly agree</t>
  </si>
  <si>
    <t>Agree</t>
  </si>
  <si>
    <t>Neither agree nor disagree</t>
  </si>
  <si>
    <t>Disagree</t>
  </si>
  <si>
    <t>Strongly disagree</t>
  </si>
  <si>
    <t>Stimme voll und ganz zu</t>
  </si>
  <si>
    <t>Stimme zu</t>
  </si>
  <si>
    <t>Weder Zustimmung noch Ablehnung</t>
  </si>
  <si>
    <t>Stimme nicht zu</t>
  </si>
  <si>
    <t>Stimme überhaupt nicht zu</t>
  </si>
  <si>
    <t>Online social media</t>
  </si>
  <si>
    <t>Television</t>
  </si>
  <si>
    <t>Newspapers</t>
  </si>
  <si>
    <t>Radio and podcasts</t>
  </si>
  <si>
    <t>Websites</t>
  </si>
  <si>
    <t>Other</t>
  </si>
  <si>
    <t>Sonstige Quellen</t>
  </si>
  <si>
    <t>Webseiten, Nachrichtenportale und Suchmaschinen</t>
  </si>
  <si>
    <t>Radio und Podcasts</t>
  </si>
  <si>
    <t>Zeitungen (gedruckt oder online)</t>
  </si>
  <si>
    <t>Fernsehen (auch über Internet oder TV-Apps)</t>
  </si>
  <si>
    <t>Soziale Medien (WhatsApp, Facebook, TikTok, Instagram, YouTube usw.)</t>
  </si>
  <si>
    <t>Neither offline nor online</t>
  </si>
  <si>
    <t>Both, offline and online</t>
  </si>
  <si>
    <t>Only online</t>
  </si>
  <si>
    <t>Only offline</t>
  </si>
  <si>
    <t>Nur offline</t>
  </si>
  <si>
    <t>Nur online</t>
  </si>
  <si>
    <t>Sowohl offline als auch online</t>
  </si>
  <si>
    <t>Weder offline noch online</t>
  </si>
  <si>
    <t>Definitely should have right</t>
  </si>
  <si>
    <t>Probably should have right</t>
  </si>
  <si>
    <t>Probably should not have right</t>
  </si>
  <si>
    <t>Definitely should not have right</t>
  </si>
  <si>
    <t>Sollte definitiv das Recht haben</t>
  </si>
  <si>
    <t>Sollte wahrscheinlich das Recht haben</t>
  </si>
  <si>
    <t>Sollte wahrscheinlich nicht das Recht haben</t>
  </si>
  <si>
    <t>Sollte definitiv nicht das Recht haben</t>
  </si>
  <si>
    <t>Rich people are benefitting more than poor people</t>
  </si>
  <si>
    <t>Rich and poor people are benefitting equally</t>
  </si>
  <si>
    <t>Poor people are benefitting more than rich people</t>
  </si>
  <si>
    <t>Neither rich people nor poor people are benefitting</t>
  </si>
  <si>
    <t>Weder Reiche noch Arme profitieren</t>
  </si>
  <si>
    <t>Arme profitieren stärker als Reiche</t>
  </si>
  <si>
    <t>Reiche und Arme profitieren gleichermaßen</t>
  </si>
  <si>
    <t>Reiche profitieren stärker als Arme</t>
  </si>
  <si>
    <t>Totally uncomfortable with this situation</t>
  </si>
  <si>
    <t>Überhaupt nicht wohl</t>
  </si>
  <si>
    <t>Totally comfortable with this situation</t>
  </si>
  <si>
    <t>Vollkommen wohl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</si>
</sst>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png"/><Relationship Id="rId1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6</xdr:col>
      <xdr:colOff>8683</xdr:colOff>
      <xdr:row>26</xdr:row>
      <xdr:rowOff>113952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9DF9590-6CF7-7B07-9B7B-DF2467C33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00"/>
          <a:ext cx="6733333" cy="27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4</xdr:col>
      <xdr:colOff>1104171</xdr:colOff>
      <xdr:row>44</xdr:row>
      <xdr:rowOff>104357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600AE1B-8318-8259-7C6F-670E6D0C5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143500"/>
          <a:ext cx="5828571" cy="33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2</xdr:col>
      <xdr:colOff>266373</xdr:colOff>
      <xdr:row>20</xdr:row>
      <xdr:rowOff>76024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2D2B65F-70D7-BCE0-5943-AFC1BF000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476500"/>
          <a:ext cx="2619048" cy="1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6</xdr:col>
      <xdr:colOff>484909</xdr:colOff>
      <xdr:row>35</xdr:row>
      <xdr:rowOff>9190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3DB41EB-4E57-F2E0-BA06-412F6D67A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0500"/>
          <a:ext cx="6923809" cy="26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3</xdr:col>
      <xdr:colOff>247249</xdr:colOff>
      <xdr:row>47</xdr:row>
      <xdr:rowOff>152119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28C7E75C-F8FF-F5AB-A4BB-E1CF0740A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6858000"/>
          <a:ext cx="3209524" cy="224761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7</xdr:col>
      <xdr:colOff>199180</xdr:colOff>
      <xdr:row>18</xdr:row>
      <xdr:rowOff>123619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B0A54DF-2D12-6069-A563-54E6848C5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1905000"/>
          <a:ext cx="6761905" cy="16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5</xdr:col>
      <xdr:colOff>294570</xdr:colOff>
      <xdr:row>32</xdr:row>
      <xdr:rowOff>9238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4CB571E2-793A-9E77-1F91-61B759461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3810000"/>
          <a:ext cx="5638095" cy="22952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3</xdr:col>
      <xdr:colOff>3085373</xdr:colOff>
      <xdr:row>29</xdr:row>
      <xdr:rowOff>47190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AD9EEC0C-A25E-79A9-2A9A-7AF067B28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95500"/>
          <a:ext cx="5819048" cy="34761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3</xdr:col>
      <xdr:colOff>3171087</xdr:colOff>
      <xdr:row>42</xdr:row>
      <xdr:rowOff>171143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E408BD25-4870-5746-F149-F177FA8B0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715000"/>
          <a:ext cx="5904762" cy="24571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5</xdr:col>
      <xdr:colOff>608748</xdr:colOff>
      <xdr:row>18</xdr:row>
      <xdr:rowOff>18833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0F080F8-58C3-F66B-A3CB-B08B13A73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6819048" cy="173333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4</xdr:col>
      <xdr:colOff>808949</xdr:colOff>
      <xdr:row>30</xdr:row>
      <xdr:rowOff>123548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E45EED7-ABEB-34B3-70E4-8916AD7C3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619500"/>
          <a:ext cx="5409524" cy="221904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4</xdr:col>
      <xdr:colOff>1342180</xdr:colOff>
      <xdr:row>16</xdr:row>
      <xdr:rowOff>9357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6B669F70-7F51-1EA9-7BD0-E85254B3A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0"/>
          <a:ext cx="6761905" cy="134285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3</xdr:col>
      <xdr:colOff>2332992</xdr:colOff>
      <xdr:row>27</xdr:row>
      <xdr:rowOff>56905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CFF99A89-729F-CCD4-9A28-AF0918643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8500"/>
          <a:ext cx="5066667" cy="19619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4</xdr:col>
      <xdr:colOff>2618531</xdr:colOff>
      <xdr:row>19</xdr:row>
      <xdr:rowOff>28333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D2F9190E-A0F1-F5CA-0676-983D1223B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4450" y="1714500"/>
          <a:ext cx="6752381" cy="19333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4</xdr:col>
      <xdr:colOff>1113769</xdr:colOff>
      <xdr:row>29</xdr:row>
      <xdr:rowOff>66452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68FD2DF7-A9A5-1004-9EBD-C89B59348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450" y="3810000"/>
          <a:ext cx="5247619" cy="178095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5</xdr:col>
      <xdr:colOff>370603</xdr:colOff>
      <xdr:row>28</xdr:row>
      <xdr:rowOff>171167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7E26F37C-D904-994C-4DFC-BA712E266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238500"/>
          <a:ext cx="6971428" cy="22666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4</xdr:col>
      <xdr:colOff>1237584</xdr:colOff>
      <xdr:row>44</xdr:row>
      <xdr:rowOff>66675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079B624-CCB6-09E6-5687-8B838D224D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44157"/>
        <a:stretch>
          <a:fillRect/>
        </a:stretch>
      </xdr:blipFill>
      <xdr:spPr>
        <a:xfrm>
          <a:off x="0" y="5715000"/>
          <a:ext cx="5323809" cy="27336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180974</xdr:rowOff>
    </xdr:from>
    <xdr:to>
      <xdr:col>4</xdr:col>
      <xdr:colOff>1237584</xdr:colOff>
      <xdr:row>47</xdr:row>
      <xdr:rowOff>94637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5A7871FD-6E4F-44E2-ABC2-594AE1155C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86198"/>
        <a:stretch>
          <a:fillRect/>
        </a:stretch>
      </xdr:blipFill>
      <xdr:spPr>
        <a:xfrm>
          <a:off x="0" y="8372474"/>
          <a:ext cx="5323809" cy="67566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E9" sqref="E9"/>
    </sheetView>
  </sheetViews>
  <sheetFormatPr baseColWidth="10" defaultColWidth="9.140625" defaultRowHeight="15" x14ac:dyDescent="0.25"/>
  <cols>
    <col min="1" max="1" width="28.7109375" customWidth="1"/>
    <col min="2" max="2" width="12.140625" bestFit="1" customWidth="1"/>
    <col min="3" max="3" width="7.7109375" bestFit="1" customWidth="1"/>
    <col min="4" max="4" width="22.28515625" bestFit="1" customWidth="1"/>
    <col min="5" max="5" width="20.85546875" bestFit="1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s="2" t="s">
        <v>6</v>
      </c>
      <c r="E1" s="2" t="s">
        <v>7</v>
      </c>
    </row>
    <row r="2" spans="1:5" x14ac:dyDescent="0.25">
      <c r="A2" s="1">
        <v>-9</v>
      </c>
      <c r="B2">
        <v>31</v>
      </c>
      <c r="C2">
        <v>3</v>
      </c>
      <c r="D2" t="s">
        <v>9</v>
      </c>
      <c r="E2" t="s">
        <v>10</v>
      </c>
    </row>
    <row r="3" spans="1:5" x14ac:dyDescent="0.25">
      <c r="A3" s="1">
        <v>1</v>
      </c>
      <c r="B3">
        <v>265</v>
      </c>
      <c r="C3">
        <v>773</v>
      </c>
      <c r="D3" t="s">
        <v>18</v>
      </c>
      <c r="E3" t="s">
        <v>11</v>
      </c>
    </row>
    <row r="4" spans="1:5" x14ac:dyDescent="0.25">
      <c r="A4" s="1">
        <v>2</v>
      </c>
      <c r="B4">
        <v>841</v>
      </c>
      <c r="C4">
        <v>569</v>
      </c>
      <c r="D4" t="s">
        <v>19</v>
      </c>
      <c r="E4" t="s">
        <v>12</v>
      </c>
    </row>
    <row r="5" spans="1:5" x14ac:dyDescent="0.25">
      <c r="A5" s="1">
        <v>3</v>
      </c>
      <c r="B5">
        <v>62</v>
      </c>
      <c r="C5">
        <v>78</v>
      </c>
      <c r="D5" t="s">
        <v>20</v>
      </c>
      <c r="E5" t="s">
        <v>13</v>
      </c>
    </row>
    <row r="6" spans="1:5" x14ac:dyDescent="0.25">
      <c r="A6" s="1">
        <v>4</v>
      </c>
      <c r="B6">
        <v>73</v>
      </c>
      <c r="C6">
        <v>48</v>
      </c>
      <c r="D6" t="s">
        <v>21</v>
      </c>
      <c r="E6" t="s">
        <v>14</v>
      </c>
    </row>
    <row r="7" spans="1:5" x14ac:dyDescent="0.25">
      <c r="A7" s="1">
        <v>5</v>
      </c>
      <c r="B7">
        <v>26</v>
      </c>
      <c r="C7">
        <v>31</v>
      </c>
      <c r="D7" t="s">
        <v>22</v>
      </c>
      <c r="E7" t="s">
        <v>15</v>
      </c>
    </row>
    <row r="8" spans="1:5" x14ac:dyDescent="0.25">
      <c r="A8" s="1">
        <v>6</v>
      </c>
      <c r="B8">
        <v>34</v>
      </c>
      <c r="C8">
        <v>30</v>
      </c>
      <c r="D8" t="s">
        <v>23</v>
      </c>
      <c r="E8" t="s">
        <v>16</v>
      </c>
    </row>
    <row r="9" spans="1:5" x14ac:dyDescent="0.25">
      <c r="A9" s="1">
        <v>7</v>
      </c>
      <c r="B9">
        <v>67</v>
      </c>
      <c r="C9">
        <v>58</v>
      </c>
      <c r="D9" t="s">
        <v>24</v>
      </c>
      <c r="E9" t="s">
        <v>17</v>
      </c>
    </row>
    <row r="10" spans="1:5" x14ac:dyDescent="0.25">
      <c r="A10" t="s">
        <v>8</v>
      </c>
      <c r="B10">
        <f>SUM(B2:B9)</f>
        <v>1399</v>
      </c>
      <c r="C10">
        <f>SUM(C2:C9)</f>
        <v>1590</v>
      </c>
    </row>
    <row r="11" spans="1:5" x14ac:dyDescent="0.25">
      <c r="A11" t="s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>
      <selection activeCell="A37" sqref="A37"/>
    </sheetView>
  </sheetViews>
  <sheetFormatPr baseColWidth="10" defaultColWidth="9.140625" defaultRowHeight="15" x14ac:dyDescent="0.25"/>
  <cols>
    <col min="1" max="1" width="23.140625" customWidth="1"/>
    <col min="2" max="2" width="12.140625" bestFit="1" customWidth="1"/>
    <col min="4" max="4" width="23" bestFit="1" customWidth="1"/>
    <col min="5" max="5" width="20" bestFit="1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s="2" t="s">
        <v>6</v>
      </c>
      <c r="E1" s="2" t="s">
        <v>7</v>
      </c>
    </row>
    <row r="2" spans="1:5" x14ac:dyDescent="0.25">
      <c r="A2" s="1">
        <v>-9</v>
      </c>
      <c r="B2">
        <v>26</v>
      </c>
      <c r="C2">
        <v>5</v>
      </c>
      <c r="D2" t="s">
        <v>9</v>
      </c>
      <c r="E2" t="s">
        <v>10</v>
      </c>
    </row>
    <row r="3" spans="1:5" x14ac:dyDescent="0.25">
      <c r="A3" s="1">
        <v>-8</v>
      </c>
      <c r="B3">
        <v>28</v>
      </c>
      <c r="C3">
        <v>13</v>
      </c>
      <c r="D3" t="s">
        <v>38</v>
      </c>
      <c r="E3" t="s">
        <v>37</v>
      </c>
    </row>
    <row r="4" spans="1:5" x14ac:dyDescent="0.25">
      <c r="A4" s="1">
        <v>-4</v>
      </c>
      <c r="B4">
        <v>56</v>
      </c>
      <c r="C4">
        <v>58</v>
      </c>
      <c r="D4" t="s">
        <v>25</v>
      </c>
      <c r="E4" t="s">
        <v>26</v>
      </c>
    </row>
    <row r="5" spans="1:5" x14ac:dyDescent="0.25">
      <c r="A5" s="1">
        <v>1</v>
      </c>
      <c r="B5">
        <v>217</v>
      </c>
      <c r="C5">
        <v>443</v>
      </c>
      <c r="D5" t="s">
        <v>28</v>
      </c>
      <c r="E5" t="s">
        <v>27</v>
      </c>
    </row>
    <row r="6" spans="1:5" x14ac:dyDescent="0.25">
      <c r="A6" s="1">
        <v>2</v>
      </c>
      <c r="B6">
        <v>572</v>
      </c>
      <c r="C6">
        <v>525</v>
      </c>
      <c r="D6" t="s">
        <v>30</v>
      </c>
      <c r="E6" t="s">
        <v>29</v>
      </c>
    </row>
    <row r="7" spans="1:5" x14ac:dyDescent="0.25">
      <c r="A7" s="1">
        <v>3</v>
      </c>
      <c r="B7">
        <v>217</v>
      </c>
      <c r="C7">
        <v>329</v>
      </c>
      <c r="D7" t="s">
        <v>32</v>
      </c>
      <c r="E7" t="s">
        <v>31</v>
      </c>
    </row>
    <row r="8" spans="1:5" x14ac:dyDescent="0.25">
      <c r="A8" s="1">
        <v>4</v>
      </c>
      <c r="B8">
        <v>209</v>
      </c>
      <c r="C8">
        <v>143</v>
      </c>
      <c r="D8" t="s">
        <v>34</v>
      </c>
      <c r="E8" t="s">
        <v>33</v>
      </c>
    </row>
    <row r="9" spans="1:5" x14ac:dyDescent="0.25">
      <c r="A9" s="1">
        <v>5</v>
      </c>
      <c r="B9">
        <v>74</v>
      </c>
      <c r="C9">
        <v>74</v>
      </c>
      <c r="D9" t="s">
        <v>36</v>
      </c>
      <c r="E9" t="s">
        <v>35</v>
      </c>
    </row>
    <row r="10" spans="1:5" x14ac:dyDescent="0.25">
      <c r="A10" t="s">
        <v>8</v>
      </c>
      <c r="B10">
        <f>SUM(B2:B9)</f>
        <v>1399</v>
      </c>
      <c r="C10">
        <f>SUM(C2:C9)</f>
        <v>1590</v>
      </c>
    </row>
    <row r="12" spans="1:5" x14ac:dyDescent="0.25">
      <c r="A12" t="s">
        <v>3</v>
      </c>
    </row>
    <row r="13" spans="1:5" x14ac:dyDescent="0.25">
      <c r="A13" t="s">
        <v>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opLeftCell="A16" workbookViewId="0">
      <selection activeCell="B21" sqref="B21"/>
    </sheetView>
  </sheetViews>
  <sheetFormatPr baseColWidth="10" defaultColWidth="9.140625" defaultRowHeight="15" x14ac:dyDescent="0.25"/>
  <cols>
    <col min="1" max="1" width="19.7109375" bestFit="1" customWidth="1"/>
    <col min="2" max="2" width="12.140625" bestFit="1" customWidth="1"/>
    <col min="4" max="4" width="33.85546875" bestFit="1" customWidth="1"/>
    <col min="5" max="5" width="25" bestFit="1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s="2" t="s">
        <v>6</v>
      </c>
      <c r="E1" s="2" t="s">
        <v>7</v>
      </c>
    </row>
    <row r="2" spans="1:5" x14ac:dyDescent="0.25">
      <c r="A2" s="1">
        <v>-9</v>
      </c>
      <c r="B2">
        <v>29</v>
      </c>
      <c r="C2">
        <v>5</v>
      </c>
      <c r="D2" t="s">
        <v>9</v>
      </c>
      <c r="E2" t="s">
        <v>10</v>
      </c>
    </row>
    <row r="3" spans="1:5" x14ac:dyDescent="0.25">
      <c r="A3" s="1">
        <v>-8</v>
      </c>
      <c r="B3">
        <v>32</v>
      </c>
      <c r="C3">
        <v>24</v>
      </c>
      <c r="D3" t="s">
        <v>38</v>
      </c>
      <c r="E3" t="s">
        <v>37</v>
      </c>
    </row>
    <row r="4" spans="1:5" x14ac:dyDescent="0.25">
      <c r="A4" s="1">
        <v>1</v>
      </c>
      <c r="B4">
        <v>327</v>
      </c>
      <c r="C4">
        <v>463</v>
      </c>
      <c r="D4" t="s">
        <v>44</v>
      </c>
      <c r="E4" t="s">
        <v>39</v>
      </c>
    </row>
    <row r="5" spans="1:5" x14ac:dyDescent="0.25">
      <c r="A5" s="1">
        <v>2</v>
      </c>
      <c r="B5">
        <v>815</v>
      </c>
      <c r="C5">
        <v>793</v>
      </c>
      <c r="D5" t="s">
        <v>45</v>
      </c>
      <c r="E5" t="s">
        <v>40</v>
      </c>
    </row>
    <row r="6" spans="1:5" x14ac:dyDescent="0.25">
      <c r="A6" s="1">
        <v>3</v>
      </c>
      <c r="B6">
        <v>151</v>
      </c>
      <c r="C6">
        <v>231</v>
      </c>
      <c r="D6" t="s">
        <v>46</v>
      </c>
      <c r="E6" t="s">
        <v>41</v>
      </c>
    </row>
    <row r="7" spans="1:5" x14ac:dyDescent="0.25">
      <c r="A7" s="1">
        <v>4</v>
      </c>
      <c r="B7">
        <v>32</v>
      </c>
      <c r="C7">
        <v>56</v>
      </c>
      <c r="D7" t="s">
        <v>47</v>
      </c>
      <c r="E7" t="s">
        <v>42</v>
      </c>
    </row>
    <row r="8" spans="1:5" x14ac:dyDescent="0.25">
      <c r="A8" s="1">
        <v>5</v>
      </c>
      <c r="B8">
        <v>13</v>
      </c>
      <c r="C8">
        <v>18</v>
      </c>
      <c r="D8" t="s">
        <v>48</v>
      </c>
      <c r="E8" t="s">
        <v>43</v>
      </c>
    </row>
    <row r="9" spans="1:5" x14ac:dyDescent="0.25">
      <c r="A9" t="s">
        <v>8</v>
      </c>
      <c r="B9">
        <f>SUM(B2:B8)</f>
        <v>1399</v>
      </c>
      <c r="C9">
        <f>SUM(C2:C8)</f>
        <v>1590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activeCell="A31" sqref="A31"/>
    </sheetView>
  </sheetViews>
  <sheetFormatPr baseColWidth="10" defaultColWidth="9.140625" defaultRowHeight="15" x14ac:dyDescent="0.25"/>
  <cols>
    <col min="1" max="1" width="19.7109375" bestFit="1" customWidth="1"/>
    <col min="2" max="2" width="12.140625" bestFit="1" customWidth="1"/>
    <col min="4" max="4" width="66.140625" bestFit="1" customWidth="1"/>
    <col min="5" max="5" width="25" bestFit="1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s="2" t="s">
        <v>6</v>
      </c>
      <c r="E1" s="2" t="s">
        <v>7</v>
      </c>
    </row>
    <row r="2" spans="1:5" x14ac:dyDescent="0.25">
      <c r="A2" s="1">
        <v>-9</v>
      </c>
      <c r="B2">
        <v>142</v>
      </c>
      <c r="C2">
        <v>8</v>
      </c>
      <c r="D2" t="s">
        <v>9</v>
      </c>
      <c r="E2" t="s">
        <v>10</v>
      </c>
    </row>
    <row r="3" spans="1:5" x14ac:dyDescent="0.25">
      <c r="A3" s="1">
        <v>-8</v>
      </c>
      <c r="B3">
        <v>22</v>
      </c>
      <c r="C3">
        <v>106</v>
      </c>
      <c r="D3" t="s">
        <v>38</v>
      </c>
      <c r="E3" t="s">
        <v>37</v>
      </c>
    </row>
    <row r="4" spans="1:5" x14ac:dyDescent="0.25">
      <c r="A4" s="1">
        <v>1</v>
      </c>
      <c r="B4">
        <v>220</v>
      </c>
      <c r="C4">
        <v>396</v>
      </c>
      <c r="D4" t="s">
        <v>60</v>
      </c>
      <c r="E4" t="s">
        <v>49</v>
      </c>
    </row>
    <row r="5" spans="1:5" x14ac:dyDescent="0.25">
      <c r="A5" s="1">
        <v>2</v>
      </c>
      <c r="B5">
        <v>516</v>
      </c>
      <c r="C5">
        <v>559</v>
      </c>
      <c r="D5" t="s">
        <v>59</v>
      </c>
      <c r="E5" t="s">
        <v>50</v>
      </c>
    </row>
    <row r="6" spans="1:5" x14ac:dyDescent="0.25">
      <c r="A6" s="1">
        <v>3</v>
      </c>
      <c r="B6">
        <v>243</v>
      </c>
      <c r="C6">
        <v>129</v>
      </c>
      <c r="D6" t="s">
        <v>58</v>
      </c>
      <c r="E6" t="s">
        <v>51</v>
      </c>
    </row>
    <row r="7" spans="1:5" x14ac:dyDescent="0.25">
      <c r="A7" s="1">
        <v>4</v>
      </c>
      <c r="B7">
        <v>101</v>
      </c>
      <c r="C7">
        <v>103</v>
      </c>
      <c r="D7" t="s">
        <v>57</v>
      </c>
      <c r="E7" t="s">
        <v>52</v>
      </c>
    </row>
    <row r="8" spans="1:5" x14ac:dyDescent="0.25">
      <c r="A8" s="1">
        <v>5</v>
      </c>
      <c r="B8">
        <v>129</v>
      </c>
      <c r="C8">
        <v>225</v>
      </c>
      <c r="D8" t="s">
        <v>56</v>
      </c>
      <c r="E8" t="s">
        <v>53</v>
      </c>
    </row>
    <row r="9" spans="1:5" x14ac:dyDescent="0.25">
      <c r="A9" s="1">
        <v>6</v>
      </c>
      <c r="B9">
        <v>26</v>
      </c>
      <c r="C9">
        <v>64</v>
      </c>
      <c r="D9" t="s">
        <v>55</v>
      </c>
      <c r="E9" t="s">
        <v>54</v>
      </c>
    </row>
    <row r="10" spans="1:5" x14ac:dyDescent="0.25">
      <c r="A10" t="s">
        <v>8</v>
      </c>
      <c r="B10">
        <f>SUM(B2:B9)</f>
        <v>1399</v>
      </c>
      <c r="C10">
        <f>SUM(C2:C9)</f>
        <v>1590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"/>
  <sheetViews>
    <sheetView tabSelected="1" workbookViewId="0">
      <selection activeCell="A20" sqref="A20"/>
    </sheetView>
  </sheetViews>
  <sheetFormatPr baseColWidth="10" defaultColWidth="9.140625" defaultRowHeight="15" x14ac:dyDescent="0.25"/>
  <cols>
    <col min="1" max="1" width="19.7109375" bestFit="1" customWidth="1"/>
    <col min="2" max="2" width="12.140625" bestFit="1" customWidth="1"/>
    <col min="4" max="4" width="28" bestFit="1" customWidth="1"/>
    <col min="5" max="5" width="24.140625" bestFit="1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s="2" t="s">
        <v>6</v>
      </c>
      <c r="E1" s="2" t="s">
        <v>7</v>
      </c>
    </row>
    <row r="2" spans="1:5" x14ac:dyDescent="0.25">
      <c r="A2" s="1">
        <v>-9</v>
      </c>
      <c r="B2">
        <v>19</v>
      </c>
      <c r="C2">
        <v>14</v>
      </c>
      <c r="D2" t="s">
        <v>9</v>
      </c>
      <c r="E2" t="s">
        <v>10</v>
      </c>
    </row>
    <row r="3" spans="1:5" x14ac:dyDescent="0.25">
      <c r="A3" s="1">
        <v>-8</v>
      </c>
      <c r="B3">
        <v>33</v>
      </c>
      <c r="C3">
        <v>101</v>
      </c>
      <c r="D3" t="s">
        <v>38</v>
      </c>
      <c r="E3" t="s">
        <v>37</v>
      </c>
    </row>
    <row r="4" spans="1:5" x14ac:dyDescent="0.25">
      <c r="A4" s="1">
        <v>1</v>
      </c>
      <c r="B4">
        <v>80</v>
      </c>
      <c r="C4">
        <v>142</v>
      </c>
      <c r="D4" t="s">
        <v>65</v>
      </c>
      <c r="E4" t="s">
        <v>64</v>
      </c>
    </row>
    <row r="5" spans="1:5" x14ac:dyDescent="0.25">
      <c r="A5" s="1">
        <v>2</v>
      </c>
      <c r="B5">
        <v>330</v>
      </c>
      <c r="C5">
        <v>217</v>
      </c>
      <c r="D5" t="s">
        <v>66</v>
      </c>
      <c r="E5" t="s">
        <v>63</v>
      </c>
    </row>
    <row r="6" spans="1:5" x14ac:dyDescent="0.25">
      <c r="A6" s="1">
        <v>3</v>
      </c>
      <c r="B6">
        <v>86</v>
      </c>
      <c r="C6">
        <v>208</v>
      </c>
      <c r="D6" t="s">
        <v>67</v>
      </c>
      <c r="E6" t="s">
        <v>62</v>
      </c>
    </row>
    <row r="7" spans="1:5" x14ac:dyDescent="0.25">
      <c r="A7" s="1">
        <v>4</v>
      </c>
      <c r="B7">
        <v>851</v>
      </c>
      <c r="C7">
        <v>908</v>
      </c>
      <c r="D7" t="s">
        <v>68</v>
      </c>
      <c r="E7" t="s">
        <v>61</v>
      </c>
    </row>
    <row r="8" spans="1:5" x14ac:dyDescent="0.25">
      <c r="A8" t="s">
        <v>8</v>
      </c>
      <c r="B8">
        <f>SUM(B2:B7)</f>
        <v>1399</v>
      </c>
      <c r="C8">
        <f>SUM(C2:C7)</f>
        <v>1590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A18" sqref="A18"/>
    </sheetView>
  </sheetViews>
  <sheetFormatPr baseColWidth="10" defaultColWidth="9.140625" defaultRowHeight="15" x14ac:dyDescent="0.25"/>
  <cols>
    <col min="1" max="1" width="19.7109375" bestFit="1" customWidth="1"/>
    <col min="2" max="2" width="12.140625" bestFit="1" customWidth="1"/>
    <col min="4" max="4" width="40.28515625" bestFit="1" customWidth="1"/>
    <col min="5" max="5" width="29.42578125" bestFit="1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s="2" t="s">
        <v>6</v>
      </c>
      <c r="E1" s="2" t="s">
        <v>7</v>
      </c>
    </row>
    <row r="2" spans="1:5" x14ac:dyDescent="0.25">
      <c r="A2" s="1">
        <v>-9</v>
      </c>
      <c r="B2">
        <v>9</v>
      </c>
      <c r="C2">
        <v>11</v>
      </c>
      <c r="D2" t="s">
        <v>9</v>
      </c>
      <c r="E2" t="s">
        <v>10</v>
      </c>
    </row>
    <row r="3" spans="1:5" x14ac:dyDescent="0.25">
      <c r="A3" s="1">
        <v>-8</v>
      </c>
      <c r="B3">
        <v>52</v>
      </c>
      <c r="C3">
        <v>97</v>
      </c>
      <c r="D3" t="s">
        <v>38</v>
      </c>
      <c r="E3" t="s">
        <v>37</v>
      </c>
    </row>
    <row r="4" spans="1:5" x14ac:dyDescent="0.25">
      <c r="A4" s="1">
        <v>1</v>
      </c>
      <c r="B4">
        <v>332</v>
      </c>
      <c r="C4">
        <v>376</v>
      </c>
      <c r="D4" t="s">
        <v>73</v>
      </c>
      <c r="E4" t="s">
        <v>69</v>
      </c>
    </row>
    <row r="5" spans="1:5" x14ac:dyDescent="0.25">
      <c r="A5" s="1">
        <v>2</v>
      </c>
      <c r="B5">
        <v>633</v>
      </c>
      <c r="C5">
        <v>561</v>
      </c>
      <c r="D5" t="s">
        <v>74</v>
      </c>
      <c r="E5" t="s">
        <v>70</v>
      </c>
    </row>
    <row r="6" spans="1:5" x14ac:dyDescent="0.25">
      <c r="A6" s="1">
        <v>3</v>
      </c>
      <c r="B6">
        <v>270</v>
      </c>
      <c r="C6">
        <v>287</v>
      </c>
      <c r="D6" t="s">
        <v>75</v>
      </c>
      <c r="E6" t="s">
        <v>71</v>
      </c>
    </row>
    <row r="7" spans="1:5" x14ac:dyDescent="0.25">
      <c r="A7" s="1">
        <v>4</v>
      </c>
      <c r="B7">
        <v>103</v>
      </c>
      <c r="C7">
        <v>258</v>
      </c>
      <c r="D7" t="s">
        <v>76</v>
      </c>
      <c r="E7" t="s">
        <v>72</v>
      </c>
    </row>
    <row r="8" spans="1:5" x14ac:dyDescent="0.25">
      <c r="A8" t="s">
        <v>8</v>
      </c>
      <c r="B8">
        <f>SUM(B2:B7)</f>
        <v>1399</v>
      </c>
      <c r="C8">
        <f>SUM(C2:C7)</f>
        <v>1590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"/>
  <sheetViews>
    <sheetView topLeftCell="B1" workbookViewId="0">
      <selection activeCell="B21" sqref="B21"/>
    </sheetView>
  </sheetViews>
  <sheetFormatPr baseColWidth="10" defaultColWidth="9.140625" defaultRowHeight="15" x14ac:dyDescent="0.25"/>
  <cols>
    <col min="1" max="1" width="19.7109375" bestFit="1" customWidth="1"/>
    <col min="2" max="2" width="12.140625" bestFit="1" customWidth="1"/>
    <col min="4" max="4" width="40.7109375" bestFit="1" customWidth="1"/>
    <col min="5" max="5" width="47.7109375" bestFit="1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s="2" t="s">
        <v>6</v>
      </c>
      <c r="E1" s="2" t="s">
        <v>7</v>
      </c>
    </row>
    <row r="2" spans="1:5" x14ac:dyDescent="0.25">
      <c r="A2" s="1">
        <v>-9</v>
      </c>
      <c r="B2">
        <v>13</v>
      </c>
      <c r="C2">
        <v>19</v>
      </c>
      <c r="D2" t="s">
        <v>9</v>
      </c>
      <c r="E2" t="s">
        <v>10</v>
      </c>
    </row>
    <row r="3" spans="1:5" x14ac:dyDescent="0.25">
      <c r="A3" s="1">
        <v>-8</v>
      </c>
      <c r="B3">
        <v>150</v>
      </c>
      <c r="C3">
        <v>163</v>
      </c>
      <c r="D3" t="s">
        <v>38</v>
      </c>
      <c r="E3" t="s">
        <v>37</v>
      </c>
    </row>
    <row r="4" spans="1:5" x14ac:dyDescent="0.25">
      <c r="A4" s="1">
        <v>1</v>
      </c>
      <c r="B4">
        <v>645</v>
      </c>
      <c r="C4">
        <v>845</v>
      </c>
      <c r="D4" t="s">
        <v>84</v>
      </c>
      <c r="E4" t="s">
        <v>77</v>
      </c>
    </row>
    <row r="5" spans="1:5" x14ac:dyDescent="0.25">
      <c r="A5" s="1">
        <v>2</v>
      </c>
      <c r="B5">
        <v>461</v>
      </c>
      <c r="C5">
        <v>361</v>
      </c>
      <c r="D5" t="s">
        <v>83</v>
      </c>
      <c r="E5" t="s">
        <v>78</v>
      </c>
    </row>
    <row r="6" spans="1:5" x14ac:dyDescent="0.25">
      <c r="A6" s="1">
        <v>3</v>
      </c>
      <c r="B6">
        <v>14</v>
      </c>
      <c r="C6">
        <v>51</v>
      </c>
      <c r="D6" t="s">
        <v>82</v>
      </c>
      <c r="E6" t="s">
        <v>79</v>
      </c>
    </row>
    <row r="7" spans="1:5" x14ac:dyDescent="0.25">
      <c r="A7" s="1">
        <v>4</v>
      </c>
      <c r="B7">
        <v>116</v>
      </c>
      <c r="C7">
        <v>151</v>
      </c>
      <c r="D7" t="s">
        <v>81</v>
      </c>
      <c r="E7" t="s">
        <v>80</v>
      </c>
    </row>
    <row r="8" spans="1:5" x14ac:dyDescent="0.25">
      <c r="A8" t="s">
        <v>8</v>
      </c>
      <c r="B8">
        <f>SUM(B2:B7)</f>
        <v>1399</v>
      </c>
      <c r="C8">
        <f>SUM(C2:C7)</f>
        <v>1590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5"/>
  <sheetViews>
    <sheetView zoomScale="71" workbookViewId="0">
      <selection activeCell="B52" sqref="B52"/>
    </sheetView>
  </sheetViews>
  <sheetFormatPr baseColWidth="10" defaultColWidth="9.140625" defaultRowHeight="15" x14ac:dyDescent="0.25"/>
  <cols>
    <col min="1" max="1" width="19.7109375" bestFit="1" customWidth="1"/>
    <col min="2" max="2" width="12.140625" bestFit="1" customWidth="1"/>
    <col min="4" max="4" width="20.28515625" bestFit="1" customWidth="1"/>
    <col min="5" max="5" width="37.7109375" bestFit="1" customWidth="1"/>
  </cols>
  <sheetData>
    <row r="1" spans="1:5" x14ac:dyDescent="0.25">
      <c r="A1" s="1" t="s">
        <v>2</v>
      </c>
      <c r="B1" s="1" t="s">
        <v>0</v>
      </c>
      <c r="C1" s="1" t="s">
        <v>1</v>
      </c>
      <c r="D1" s="2" t="s">
        <v>6</v>
      </c>
      <c r="E1" s="2" t="s">
        <v>7</v>
      </c>
    </row>
    <row r="2" spans="1:5" x14ac:dyDescent="0.25">
      <c r="A2" s="1">
        <v>-9</v>
      </c>
      <c r="B2">
        <v>14</v>
      </c>
      <c r="C2">
        <v>15</v>
      </c>
      <c r="D2" t="s">
        <v>9</v>
      </c>
      <c r="E2" t="s">
        <v>10</v>
      </c>
    </row>
    <row r="3" spans="1:5" x14ac:dyDescent="0.25">
      <c r="A3" s="1">
        <v>-8</v>
      </c>
      <c r="B3">
        <v>62</v>
      </c>
      <c r="C3">
        <v>44</v>
      </c>
      <c r="D3" t="s">
        <v>38</v>
      </c>
      <c r="E3" t="s">
        <v>37</v>
      </c>
    </row>
    <row r="4" spans="1:5" x14ac:dyDescent="0.25">
      <c r="A4" s="1">
        <v>0</v>
      </c>
      <c r="B4">
        <v>306</v>
      </c>
      <c r="C4">
        <v>547</v>
      </c>
      <c r="D4" t="s">
        <v>86</v>
      </c>
      <c r="E4" t="s">
        <v>85</v>
      </c>
    </row>
    <row r="5" spans="1:5" x14ac:dyDescent="0.25">
      <c r="A5" s="1">
        <v>1</v>
      </c>
      <c r="B5">
        <v>104</v>
      </c>
      <c r="C5">
        <v>81</v>
      </c>
    </row>
    <row r="6" spans="1:5" x14ac:dyDescent="0.25">
      <c r="A6" s="1">
        <v>2</v>
      </c>
      <c r="B6">
        <v>126</v>
      </c>
      <c r="C6">
        <v>105</v>
      </c>
    </row>
    <row r="7" spans="1:5" x14ac:dyDescent="0.25">
      <c r="A7" s="1">
        <v>3</v>
      </c>
      <c r="B7">
        <v>122</v>
      </c>
      <c r="C7">
        <v>106</v>
      </c>
    </row>
    <row r="8" spans="1:5" x14ac:dyDescent="0.25">
      <c r="A8" s="1">
        <v>4</v>
      </c>
      <c r="B8">
        <v>88</v>
      </c>
      <c r="C8">
        <v>83</v>
      </c>
    </row>
    <row r="9" spans="1:5" x14ac:dyDescent="0.25">
      <c r="A9" s="1">
        <v>5</v>
      </c>
      <c r="B9">
        <v>186</v>
      </c>
      <c r="C9">
        <v>216</v>
      </c>
    </row>
    <row r="10" spans="1:5" x14ac:dyDescent="0.25">
      <c r="A10" s="1">
        <v>6</v>
      </c>
      <c r="B10">
        <v>71</v>
      </c>
      <c r="C10">
        <v>91</v>
      </c>
    </row>
    <row r="11" spans="1:5" x14ac:dyDescent="0.25">
      <c r="A11" s="1">
        <v>7</v>
      </c>
      <c r="B11">
        <v>106</v>
      </c>
      <c r="C11">
        <v>106</v>
      </c>
    </row>
    <row r="12" spans="1:5" x14ac:dyDescent="0.25">
      <c r="A12" s="1">
        <v>8</v>
      </c>
      <c r="B12">
        <v>137</v>
      </c>
      <c r="C12">
        <v>85</v>
      </c>
    </row>
    <row r="13" spans="1:5" x14ac:dyDescent="0.25">
      <c r="A13" s="1">
        <v>9</v>
      </c>
      <c r="B13">
        <v>35</v>
      </c>
      <c r="C13">
        <v>31</v>
      </c>
    </row>
    <row r="14" spans="1:5" x14ac:dyDescent="0.25">
      <c r="A14" s="1">
        <v>10</v>
      </c>
      <c r="B14">
        <v>42</v>
      </c>
      <c r="C14">
        <v>80</v>
      </c>
      <c r="D14" t="s">
        <v>88</v>
      </c>
      <c r="E14" t="s">
        <v>87</v>
      </c>
    </row>
    <row r="15" spans="1:5" x14ac:dyDescent="0.25">
      <c r="A15" t="s">
        <v>8</v>
      </c>
      <c r="B15">
        <f>SUM(B2:B14)</f>
        <v>1399</v>
      </c>
      <c r="C15">
        <f>SUM(C2:C14)</f>
        <v>1590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Q1</vt:lpstr>
      <vt:lpstr>Q10d</vt:lpstr>
      <vt:lpstr>Q17a</vt:lpstr>
      <vt:lpstr>Q20</vt:lpstr>
      <vt:lpstr>Q23a</vt:lpstr>
      <vt:lpstr>Q28a</vt:lpstr>
      <vt:lpstr>Q34</vt:lpstr>
      <vt:lpstr>Q36a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Meir Rapoport</cp:lastModifiedBy>
  <dcterms:created xsi:type="dcterms:W3CDTF">2026-10-18T21:54:57Z</dcterms:created>
  <dcterms:modified xsi:type="dcterms:W3CDTF">2026-10-18T23:24:17Z</dcterms:modified>
</cp:coreProperties>
</file>